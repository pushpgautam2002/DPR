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homemonde-my.sharepoint.com/personal/analyst_homemonde_com/Documents/Attachments/"/>
    </mc:Choice>
  </mc:AlternateContent>
  <xr:revisionPtr revIDLastSave="1401" documentId="8_{94E7D389-E4B0-488F-9327-DF8FB369DF69}" xr6:coauthVersionLast="47" xr6:coauthVersionMax="47" xr10:uidLastSave="{3D246314-7C61-4DB2-94E6-274D8294E38D}"/>
  <workbookProtection workbookAlgorithmName="SHA-512" workbookHashValue="63jeiYj4oJ28i5LP2xzrlX1/0n3iXm2aiTGBqU37/aVltp3/Z2N3Gl3XFWTYVAPE2NJ15mzNlOdA1PCwwvVomw==" workbookSaltValue="HR0wOryGRMx3qYuW7S3dVg==" workbookSpinCount="100000" lockStructure="1"/>
  <bookViews>
    <workbookView xWindow="-108" yWindow="-108" windowWidth="23256" windowHeight="12456" xr2:uid="{E5F9484D-C6D3-433A-A847-B73F324CFD1E}"/>
  </bookViews>
  <sheets>
    <sheet name="daily report" sheetId="1" r:id="rId1"/>
    <sheet name="Shipment " sheetId="2" r:id="rId2"/>
  </sheets>
  <definedNames>
    <definedName name="_xlnm._FilterDatabase" localSheetId="0" hidden="1">'daily report'!$A$1:$BK$29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" i="1" l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6" i="1"/>
  <c r="AG6" i="1"/>
  <c r="AF6" i="1"/>
  <c r="AG7" i="1"/>
  <c r="AF7" i="1"/>
  <c r="AG8" i="1"/>
</calcChain>
</file>

<file path=xl/sharedStrings.xml><?xml version="1.0" encoding="utf-8"?>
<sst xmlns="http://schemas.openxmlformats.org/spreadsheetml/2006/main" count="181" uniqueCount="70">
  <si>
    <t>Date</t>
  </si>
  <si>
    <t>Floor</t>
  </si>
  <si>
    <t>Person of Contact</t>
  </si>
  <si>
    <t>Cutting (Fabric)</t>
  </si>
  <si>
    <t>Stitching Machine</t>
  </si>
  <si>
    <t>Quantity Stitched</t>
  </si>
  <si>
    <t>Total Dpr</t>
  </si>
  <si>
    <t>Eyelet Process  (Contractor)</t>
  </si>
  <si>
    <t>Thread Cutting (Process)</t>
  </si>
  <si>
    <t>Press (Process)</t>
  </si>
  <si>
    <t>Quality Check</t>
  </si>
  <si>
    <t>Packing  (Contractor)</t>
  </si>
  <si>
    <t>Trade product</t>
  </si>
  <si>
    <t>Total Qty Packed</t>
  </si>
  <si>
    <t>Issued</t>
  </si>
  <si>
    <t>Used</t>
  </si>
  <si>
    <t>Cutting P/sc</t>
  </si>
  <si>
    <t>Wastage</t>
  </si>
  <si>
    <t>Carry Forward</t>
  </si>
  <si>
    <t>Total Machine</t>
  </si>
  <si>
    <t>Total Present</t>
  </si>
  <si>
    <t>Curtain</t>
  </si>
  <si>
    <t>Cushion</t>
  </si>
  <si>
    <t>Bedding</t>
  </si>
  <si>
    <t>Pillow</t>
  </si>
  <si>
    <t>Label Stitching</t>
  </si>
  <si>
    <t>Bottom Stiching</t>
  </si>
  <si>
    <t>Bolster</t>
  </si>
  <si>
    <t>Reject</t>
  </si>
  <si>
    <t>Bedsheet</t>
  </si>
  <si>
    <t>Fitted</t>
  </si>
  <si>
    <t>Throw</t>
  </si>
  <si>
    <t>Dohar</t>
  </si>
  <si>
    <t>Blanket</t>
  </si>
  <si>
    <t>Comfotor</t>
  </si>
  <si>
    <t>Chindi</t>
  </si>
  <si>
    <t>Felt</t>
  </si>
  <si>
    <t>Mattress</t>
  </si>
  <si>
    <t>Normal</t>
  </si>
  <si>
    <t>Border POM-POM</t>
  </si>
  <si>
    <t>3Face Border POM - POM</t>
  </si>
  <si>
    <t>Polyester</t>
  </si>
  <si>
    <t>RCR</t>
  </si>
  <si>
    <t>LCR</t>
  </si>
  <si>
    <t>BCR</t>
  </si>
  <si>
    <t>TLCR</t>
  </si>
  <si>
    <t>Table cover</t>
  </si>
  <si>
    <t>Sheer</t>
  </si>
  <si>
    <t>Fitted BedSheet</t>
  </si>
  <si>
    <t>S1</t>
  </si>
  <si>
    <t>S2</t>
  </si>
  <si>
    <t>S5</t>
  </si>
  <si>
    <t>U2</t>
  </si>
  <si>
    <t>Sonu</t>
  </si>
  <si>
    <t>U1-Floor3</t>
  </si>
  <si>
    <t xml:space="preserve">Abishek </t>
  </si>
  <si>
    <t>U1-Floor2</t>
  </si>
  <si>
    <t>Shetan Singh</t>
  </si>
  <si>
    <t>U1-Floor1</t>
  </si>
  <si>
    <t>prcr 24</t>
  </si>
  <si>
    <t xml:space="preserve">Amazon </t>
  </si>
  <si>
    <t xml:space="preserve">Myntra </t>
  </si>
  <si>
    <t>Flipkart</t>
  </si>
  <si>
    <t>Blinkit</t>
  </si>
  <si>
    <t>Curtains</t>
  </si>
  <si>
    <t>Table Cover</t>
  </si>
  <si>
    <t>Table Runner</t>
  </si>
  <si>
    <t>Pending</t>
  </si>
  <si>
    <t>U1</t>
  </si>
  <si>
    <t>Shekhar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</si>
</sst>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/d/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7" borderId="2" xfId="0" applyFill="1" applyBorder="1"/>
    <xf numFmtId="0" fontId="0" fillId="7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2" xfId="0" applyBorder="1"/>
    <xf numFmtId="0" fontId="6" fillId="0" borderId="0" xfId="0" applyFont="1" applyProtection="1">
      <protection locked="0"/>
    </xf>
    <xf numFmtId="0" fontId="2" fillId="4" borderId="6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vertical="center"/>
    </xf>
    <xf numFmtId="0" fontId="2" fillId="3" borderId="3" xfId="0" applyFont="1" applyFill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Font="1"/>
    <xf numFmtId="168" fontId="2" fillId="4" borderId="6" xfId="0" applyNumberFormat="1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8" fontId="0" fillId="0" borderId="0" xfId="0" applyNumberFormat="1"/>
    <xf numFmtId="168" fontId="0" fillId="0" borderId="0" xfId="0" applyNumberFormat="1" applyProtection="1">
      <protection locked="0"/>
    </xf>
    <xf numFmtId="168" fontId="9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  <color rgb="FFFFCC99"/>
      <color rgb="FF99CCFF"/>
      <color rgb="FFCC99FF"/>
      <color rgb="FF9999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6F46-E2BB-439C-80A2-5F4D60030AB3}">
  <sheetPr codeName="Sheet1"/>
  <dimension ref="A1:BK44"/>
  <sheetViews>
    <sheetView tabSelected="1" zoomScale="127" zoomScaleNormal="86" workbookViewId="0">
      <selection activeCell="A5" sqref="A5:XFD5"/>
    </sheetView>
  </sheetViews>
  <sheetFormatPr defaultRowHeight="15" customHeight="1"/>
  <cols>
    <col min="1" max="1" width="14.140625" style="53" bestFit="1" customWidth="1"/>
    <col min="2" max="2" width="9.85546875" bestFit="1" customWidth="1"/>
    <col min="3" max="3" width="18.7109375" bestFit="1" customWidth="1"/>
    <col min="4" max="5" width="9.7109375" bestFit="1" customWidth="1"/>
    <col min="6" max="6" width="10.140625" bestFit="1" customWidth="1"/>
    <col min="7" max="7" width="11.7109375" customWidth="1"/>
    <col min="8" max="8" width="12.7109375" customWidth="1"/>
    <col min="9" max="9" width="13.7109375" bestFit="1" customWidth="1"/>
    <col min="10" max="10" width="12.7109375" bestFit="1" customWidth="1"/>
    <col min="11" max="11" width="8.7109375" bestFit="1" customWidth="1"/>
    <col min="12" max="12" width="17.42578125" bestFit="1" customWidth="1"/>
    <col min="13" max="13" width="24.28515625" bestFit="1" customWidth="1"/>
    <col min="14" max="15" width="8.7109375" bestFit="1" customWidth="1"/>
    <col min="16" max="18" width="6.7109375" bestFit="1" customWidth="1"/>
    <col min="19" max="19" width="11.28515625" bestFit="1" customWidth="1"/>
    <col min="20" max="21" width="8.7109375" bestFit="1" customWidth="1"/>
    <col min="22" max="24" width="7.7109375" bestFit="1" customWidth="1"/>
    <col min="25" max="25" width="13.42578125" bestFit="1" customWidth="1"/>
    <col min="26" max="26" width="15.28515625" bestFit="1" customWidth="1"/>
    <col min="27" max="27" width="10" customWidth="1"/>
    <col min="28" max="29" width="17.7109375" customWidth="1"/>
    <col min="30" max="30" width="18.140625" customWidth="1"/>
    <col min="31" max="31" width="18.5703125" customWidth="1"/>
    <col min="32" max="34" width="9.7109375" bestFit="1" customWidth="1"/>
    <col min="35" max="35" width="7.7109375" bestFit="1" customWidth="1"/>
    <col min="36" max="36" width="9.5703125" bestFit="1" customWidth="1"/>
    <col min="37" max="37" width="15.5703125" bestFit="1" customWidth="1"/>
    <col min="38" max="38" width="8.7109375" bestFit="1" customWidth="1"/>
    <col min="39" max="39" width="8.28515625" bestFit="1" customWidth="1"/>
    <col min="40" max="40" width="7.7109375" bestFit="1" customWidth="1"/>
    <col min="41" max="42" width="8.7109375" bestFit="1" customWidth="1"/>
    <col min="43" max="43" width="8.28515625" bestFit="1" customWidth="1"/>
    <col min="44" max="44" width="7.42578125" bestFit="1" customWidth="1"/>
    <col min="45" max="45" width="8.42578125" bestFit="1" customWidth="1"/>
    <col min="46" max="46" width="7.7109375" bestFit="1" customWidth="1"/>
    <col min="47" max="51" width="6.7109375" bestFit="1" customWidth="1"/>
    <col min="52" max="52" width="7.7109375" bestFit="1" customWidth="1"/>
    <col min="53" max="53" width="8.42578125" bestFit="1" customWidth="1"/>
    <col min="54" max="54" width="25.5703125" customWidth="1"/>
    <col min="63" max="63" width="16" bestFit="1" customWidth="1"/>
    <col min="67" max="67" width="9.140625" bestFit="1" customWidth="1"/>
  </cols>
  <sheetData>
    <row r="1" spans="1:63" ht="18.75" customHeight="1">
      <c r="A1" s="51" t="s">
        <v>0</v>
      </c>
      <c r="B1" s="25" t="s">
        <v>1</v>
      </c>
      <c r="C1" s="26" t="s">
        <v>2</v>
      </c>
      <c r="D1" s="29" t="s">
        <v>3</v>
      </c>
      <c r="E1" s="29"/>
      <c r="F1" s="29"/>
      <c r="G1" s="29"/>
      <c r="H1" s="29"/>
      <c r="I1" s="36" t="s">
        <v>4</v>
      </c>
      <c r="J1" s="36"/>
      <c r="K1" s="29" t="s">
        <v>5</v>
      </c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34" t="s">
        <v>6</v>
      </c>
      <c r="AB1" s="35" t="s">
        <v>7</v>
      </c>
      <c r="AC1" s="35"/>
      <c r="AD1" s="35"/>
      <c r="AE1" s="35"/>
      <c r="AF1" s="29" t="s">
        <v>8</v>
      </c>
      <c r="AG1" s="29"/>
      <c r="AH1" s="29"/>
      <c r="AI1" s="29"/>
      <c r="AJ1" s="29"/>
      <c r="AK1" s="29"/>
      <c r="AL1" s="36" t="s">
        <v>9</v>
      </c>
      <c r="AM1" s="36"/>
      <c r="AN1" s="36"/>
      <c r="AO1" s="36"/>
      <c r="AP1" s="29" t="s">
        <v>10</v>
      </c>
      <c r="AQ1" s="29"/>
      <c r="AR1" s="29"/>
      <c r="AS1" s="29"/>
      <c r="AT1" s="29"/>
      <c r="AU1" s="35" t="s">
        <v>11</v>
      </c>
      <c r="AV1" s="35"/>
      <c r="AW1" s="35"/>
      <c r="AX1" s="35"/>
      <c r="AY1" s="35"/>
      <c r="AZ1" s="35"/>
      <c r="BA1" s="35"/>
      <c r="BB1" s="13" t="s">
        <v>12</v>
      </c>
      <c r="BC1" s="13"/>
      <c r="BD1" s="38"/>
      <c r="BE1" s="38"/>
      <c r="BF1" s="38"/>
      <c r="BG1" s="38"/>
      <c r="BH1" s="38"/>
      <c r="BI1" s="38"/>
      <c r="BJ1" s="44"/>
      <c r="BK1" s="41" t="s">
        <v>13</v>
      </c>
    </row>
    <row r="2" spans="1:63" ht="15" customHeight="1">
      <c r="A2" s="51"/>
      <c r="B2" s="25"/>
      <c r="C2" s="26"/>
      <c r="D2" s="23" t="s">
        <v>14</v>
      </c>
      <c r="E2" s="23" t="s">
        <v>15</v>
      </c>
      <c r="F2" s="32" t="s">
        <v>16</v>
      </c>
      <c r="G2" s="32" t="s">
        <v>17</v>
      </c>
      <c r="H2" s="33" t="s">
        <v>18</v>
      </c>
      <c r="I2" s="27" t="s">
        <v>19</v>
      </c>
      <c r="J2" s="27" t="s">
        <v>20</v>
      </c>
      <c r="K2" s="28" t="s">
        <v>21</v>
      </c>
      <c r="L2" s="28"/>
      <c r="M2" s="28"/>
      <c r="N2" s="28"/>
      <c r="O2" s="28"/>
      <c r="P2" s="28"/>
      <c r="Q2" s="28"/>
      <c r="R2" s="28"/>
      <c r="S2" s="28" t="s">
        <v>22</v>
      </c>
      <c r="T2" s="28"/>
      <c r="U2" s="28"/>
      <c r="V2" s="28" t="s">
        <v>23</v>
      </c>
      <c r="W2" s="28"/>
      <c r="X2" s="27" t="s">
        <v>24</v>
      </c>
      <c r="Y2" s="37" t="s">
        <v>25</v>
      </c>
      <c r="Z2" s="37" t="s">
        <v>26</v>
      </c>
      <c r="AA2" s="34"/>
      <c r="AB2" s="27" t="s">
        <v>14</v>
      </c>
      <c r="AC2" s="27" t="s">
        <v>15</v>
      </c>
      <c r="AD2" s="27" t="s">
        <v>17</v>
      </c>
      <c r="AE2" s="27" t="s">
        <v>18</v>
      </c>
      <c r="AF2" s="30" t="s">
        <v>21</v>
      </c>
      <c r="AG2" s="30"/>
      <c r="AH2" s="23" t="s">
        <v>22</v>
      </c>
      <c r="AI2" s="23" t="s">
        <v>27</v>
      </c>
      <c r="AJ2" s="22" t="s">
        <v>23</v>
      </c>
      <c r="AK2" s="22"/>
      <c r="AL2" s="27" t="s">
        <v>21</v>
      </c>
      <c r="AM2" s="27" t="s">
        <v>22</v>
      </c>
      <c r="AN2" s="27" t="s">
        <v>27</v>
      </c>
      <c r="AO2" s="27" t="s">
        <v>23</v>
      </c>
      <c r="AP2" s="23" t="s">
        <v>21</v>
      </c>
      <c r="AQ2" s="23" t="s">
        <v>22</v>
      </c>
      <c r="AR2" s="23" t="s">
        <v>27</v>
      </c>
      <c r="AS2" s="23" t="s">
        <v>23</v>
      </c>
      <c r="AT2" s="23" t="s">
        <v>28</v>
      </c>
      <c r="AU2" s="30" t="s">
        <v>21</v>
      </c>
      <c r="AV2" s="30"/>
      <c r="AW2" s="30" t="s">
        <v>22</v>
      </c>
      <c r="AX2" s="30"/>
      <c r="AY2" s="30"/>
      <c r="AZ2" s="23" t="s">
        <v>27</v>
      </c>
      <c r="BA2" s="23" t="s">
        <v>23</v>
      </c>
      <c r="BB2" s="24" t="s">
        <v>29</v>
      </c>
      <c r="BC2" s="24" t="s">
        <v>30</v>
      </c>
      <c r="BD2" s="24" t="s">
        <v>31</v>
      </c>
      <c r="BE2" s="24" t="s">
        <v>32</v>
      </c>
      <c r="BF2" s="24" t="s">
        <v>33</v>
      </c>
      <c r="BG2" s="24" t="s">
        <v>34</v>
      </c>
      <c r="BH2" s="24" t="s">
        <v>35</v>
      </c>
      <c r="BI2" s="24" t="s">
        <v>36</v>
      </c>
      <c r="BJ2" s="24" t="s">
        <v>37</v>
      </c>
      <c r="BK2" s="42"/>
    </row>
    <row r="3" spans="1:63" ht="15" customHeight="1">
      <c r="A3" s="51"/>
      <c r="B3" s="25"/>
      <c r="C3" s="26"/>
      <c r="D3" s="23"/>
      <c r="E3" s="23"/>
      <c r="F3" s="32"/>
      <c r="G3" s="32"/>
      <c r="H3" s="33"/>
      <c r="I3" s="27"/>
      <c r="J3" s="27"/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27</v>
      </c>
      <c r="U3" s="3" t="s">
        <v>38</v>
      </c>
      <c r="V3" s="3" t="s">
        <v>38</v>
      </c>
      <c r="W3" s="3" t="s">
        <v>30</v>
      </c>
      <c r="X3" s="27"/>
      <c r="Y3" s="37"/>
      <c r="Z3" s="37"/>
      <c r="AA3" s="34"/>
      <c r="AB3" s="27"/>
      <c r="AC3" s="27"/>
      <c r="AD3" s="27"/>
      <c r="AE3" s="27"/>
      <c r="AF3" s="1" t="s">
        <v>47</v>
      </c>
      <c r="AG3" s="1" t="s">
        <v>41</v>
      </c>
      <c r="AH3" s="23"/>
      <c r="AI3" s="23"/>
      <c r="AJ3" s="1" t="s">
        <v>29</v>
      </c>
      <c r="AK3" s="1" t="s">
        <v>48</v>
      </c>
      <c r="AL3" s="27"/>
      <c r="AM3" s="27"/>
      <c r="AN3" s="27"/>
      <c r="AO3" s="27"/>
      <c r="AP3" s="23"/>
      <c r="AQ3" s="23"/>
      <c r="AR3" s="23"/>
      <c r="AS3" s="23"/>
      <c r="AT3" s="23"/>
      <c r="AU3" s="2" t="s">
        <v>49</v>
      </c>
      <c r="AV3" s="2" t="s">
        <v>50</v>
      </c>
      <c r="AW3" s="2" t="s">
        <v>49</v>
      </c>
      <c r="AX3" s="2" t="s">
        <v>50</v>
      </c>
      <c r="AY3" s="2" t="s">
        <v>51</v>
      </c>
      <c r="AZ3" s="23"/>
      <c r="BA3" s="23"/>
      <c r="BB3" s="24"/>
      <c r="BC3" s="24"/>
      <c r="BD3" s="24"/>
      <c r="BE3" s="24"/>
      <c r="BF3" s="24"/>
      <c r="BG3" s="24"/>
      <c r="BH3" s="24"/>
      <c r="BI3" s="31"/>
      <c r="BJ3" s="31"/>
      <c r="BK3" s="43"/>
    </row>
    <row r="4" spans="1:63" ht="15" customHeight="1">
      <c r="A4" s="52"/>
      <c r="B4" s="14"/>
      <c r="C4" s="15"/>
      <c r="D4" s="16"/>
      <c r="E4" s="16"/>
      <c r="F4" s="17"/>
      <c r="G4" s="17"/>
      <c r="H4" s="16"/>
      <c r="I4" s="16"/>
      <c r="J4" s="16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6"/>
      <c r="Y4" s="19"/>
      <c r="Z4" s="19"/>
      <c r="AA4" s="20"/>
      <c r="AB4" s="16"/>
      <c r="AC4" s="16"/>
      <c r="AD4" s="16"/>
      <c r="AE4" s="16"/>
      <c r="AH4" s="16"/>
      <c r="AI4" s="16"/>
      <c r="AL4" s="16"/>
      <c r="AM4" s="16"/>
      <c r="AN4" s="16"/>
      <c r="AO4" s="16"/>
      <c r="AP4" s="16"/>
      <c r="AQ4" s="16"/>
      <c r="AR4" s="16"/>
      <c r="AS4" s="16"/>
      <c r="AT4" s="16"/>
      <c r="AU4" s="21"/>
      <c r="AV4" s="21"/>
      <c r="AW4" s="21"/>
      <c r="AX4" s="21"/>
      <c r="AY4" s="21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</row>
    <row r="5" spans="1:63" ht="15" customHeight="1">
      <c r="A5" s="53">
        <v>45937</v>
      </c>
      <c r="B5" t="s">
        <v>52</v>
      </c>
      <c r="C5" s="50" t="s">
        <v>53</v>
      </c>
      <c r="D5" s="45">
        <v>3002</v>
      </c>
      <c r="E5" s="45">
        <v>2967.48</v>
      </c>
      <c r="F5" s="46">
        <v>1197</v>
      </c>
      <c r="G5" s="46">
        <v>34.520000000000003</v>
      </c>
      <c r="H5" s="45"/>
      <c r="I5" s="45"/>
      <c r="J5" s="45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5"/>
      <c r="Y5" s="48"/>
      <c r="Z5" s="48"/>
      <c r="AA5" s="49"/>
      <c r="AB5" s="45"/>
      <c r="AC5" s="45"/>
      <c r="AD5" s="45"/>
      <c r="AE5" s="45"/>
      <c r="AF5" s="50"/>
      <c r="AG5" s="50"/>
      <c r="AH5" s="45"/>
      <c r="AI5" s="45"/>
      <c r="AJ5" s="50"/>
      <c r="AK5" s="50"/>
      <c r="AL5" s="45">
        <v>500</v>
      </c>
      <c r="AM5" s="45"/>
      <c r="AN5" s="45"/>
      <c r="AO5" s="45"/>
      <c r="AP5" s="45">
        <v>1571</v>
      </c>
      <c r="AQ5" s="45"/>
      <c r="AR5" s="45"/>
      <c r="AS5" s="45"/>
      <c r="AT5" s="45"/>
      <c r="AU5" s="45"/>
      <c r="AV5" s="45">
        <v>335</v>
      </c>
      <c r="AW5" s="45">
        <v>63</v>
      </c>
      <c r="AX5" s="45"/>
      <c r="AY5" s="45">
        <v>3</v>
      </c>
      <c r="AZ5" s="45"/>
      <c r="BA5" s="45"/>
      <c r="BB5" s="45">
        <v>1</v>
      </c>
      <c r="BC5" s="45">
        <v>108</v>
      </c>
      <c r="BD5" s="45"/>
      <c r="BE5" s="45"/>
      <c r="BF5" s="45"/>
      <c r="BG5" s="45"/>
      <c r="BH5" s="45"/>
      <c r="BI5" s="45"/>
      <c r="BJ5" s="45"/>
      <c r="BK5" s="50"/>
    </row>
    <row r="6" spans="1:63" ht="15" customHeight="1">
      <c r="A6" s="53">
        <v>45936</v>
      </c>
      <c r="B6" t="s">
        <v>52</v>
      </c>
      <c r="C6" t="s">
        <v>53</v>
      </c>
      <c r="D6" s="45">
        <v>2577</v>
      </c>
      <c r="E6" s="45">
        <v>2146.63</v>
      </c>
      <c r="F6" s="46">
        <v>1124</v>
      </c>
      <c r="G6" s="46">
        <v>58.37</v>
      </c>
      <c r="H6" s="45"/>
      <c r="I6" s="45">
        <v>24</v>
      </c>
      <c r="J6" s="45">
        <v>21</v>
      </c>
      <c r="K6" s="47">
        <v>64</v>
      </c>
      <c r="L6" s="47">
        <v>58</v>
      </c>
      <c r="M6" s="47"/>
      <c r="N6" s="47">
        <v>522</v>
      </c>
      <c r="O6" s="47">
        <v>226</v>
      </c>
      <c r="P6" s="47"/>
      <c r="Q6" s="47"/>
      <c r="R6" s="47"/>
      <c r="S6" s="47"/>
      <c r="T6" s="47"/>
      <c r="U6" s="47">
        <v>181</v>
      </c>
      <c r="V6" s="47"/>
      <c r="W6" s="47">
        <v>70</v>
      </c>
      <c r="X6" s="45"/>
      <c r="Y6" s="48"/>
      <c r="Z6" s="48"/>
      <c r="AA6" s="49">
        <f>SUM(K6:W6)</f>
        <v>1121</v>
      </c>
      <c r="AB6" s="45"/>
      <c r="AC6" s="45"/>
      <c r="AD6" s="45"/>
      <c r="AE6" s="45"/>
      <c r="AF6" s="50">
        <f>64+58</f>
        <v>122</v>
      </c>
      <c r="AG6" s="50">
        <f>522+226</f>
        <v>748</v>
      </c>
      <c r="AH6" s="45">
        <v>181</v>
      </c>
      <c r="AI6" s="45"/>
      <c r="AJ6" s="50"/>
      <c r="AK6" s="50">
        <v>70</v>
      </c>
      <c r="AL6" s="45">
        <v>550</v>
      </c>
      <c r="AM6" s="45"/>
      <c r="AN6" s="45"/>
      <c r="AO6" s="45"/>
      <c r="AP6" s="45">
        <v>1217</v>
      </c>
      <c r="AQ6" s="45"/>
      <c r="AR6" s="45"/>
      <c r="AS6" s="45"/>
      <c r="AT6" s="45"/>
      <c r="AU6" s="45"/>
      <c r="AV6" s="45">
        <v>458</v>
      </c>
      <c r="AW6" s="45"/>
      <c r="AX6" s="45">
        <v>29</v>
      </c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50"/>
    </row>
    <row r="7" spans="1:63" ht="15" customHeight="1">
      <c r="A7" s="53">
        <v>45787</v>
      </c>
      <c r="B7" t="s">
        <v>52</v>
      </c>
      <c r="C7" t="s">
        <v>53</v>
      </c>
      <c r="D7" s="45">
        <v>2265</v>
      </c>
      <c r="E7" s="45">
        <v>1729.39</v>
      </c>
      <c r="F7" s="46">
        <v>126.61</v>
      </c>
      <c r="G7" s="46"/>
      <c r="H7" s="45"/>
      <c r="I7" s="45">
        <v>24</v>
      </c>
      <c r="J7" s="45">
        <v>19</v>
      </c>
      <c r="K7" s="47">
        <v>68</v>
      </c>
      <c r="L7" s="47">
        <v>42</v>
      </c>
      <c r="M7" s="47"/>
      <c r="N7" s="47">
        <v>86</v>
      </c>
      <c r="O7" s="47">
        <v>364</v>
      </c>
      <c r="P7" s="47"/>
      <c r="Q7" s="47">
        <v>92</v>
      </c>
      <c r="R7" s="47"/>
      <c r="S7" s="47"/>
      <c r="T7" s="47">
        <v>50</v>
      </c>
      <c r="U7" s="47">
        <v>3</v>
      </c>
      <c r="V7" s="47"/>
      <c r="W7" s="47">
        <v>69</v>
      </c>
      <c r="X7" s="45"/>
      <c r="Y7" s="48"/>
      <c r="Z7" s="48"/>
      <c r="AA7" s="49">
        <f t="shared" ref="AA7:AA31" si="0">SUM(K7:W7)</f>
        <v>774</v>
      </c>
      <c r="AB7" s="45"/>
      <c r="AC7" s="45"/>
      <c r="AD7" s="45"/>
      <c r="AE7" s="45"/>
      <c r="AF7" s="50">
        <f>68+42</f>
        <v>110</v>
      </c>
      <c r="AG7" s="50">
        <f>92+86+364</f>
        <v>542</v>
      </c>
      <c r="AH7" s="45"/>
      <c r="AI7" s="45">
        <v>50</v>
      </c>
      <c r="AJ7" s="50">
        <v>3</v>
      </c>
      <c r="AK7" s="50">
        <v>69</v>
      </c>
      <c r="AL7" s="45">
        <v>700</v>
      </c>
      <c r="AM7" s="45"/>
      <c r="AN7" s="45"/>
      <c r="AO7" s="45"/>
      <c r="AP7" s="45">
        <v>1080</v>
      </c>
      <c r="AQ7" s="45"/>
      <c r="AR7" s="45"/>
      <c r="AS7" s="45"/>
      <c r="AT7" s="45"/>
      <c r="AU7" s="45"/>
      <c r="AV7" s="45">
        <v>442</v>
      </c>
      <c r="AW7" s="45"/>
      <c r="AX7" s="45">
        <v>19</v>
      </c>
      <c r="AY7" s="45"/>
      <c r="AZ7" s="45"/>
      <c r="BA7" s="45"/>
      <c r="BB7" s="45"/>
      <c r="BC7" s="45">
        <v>4</v>
      </c>
      <c r="BD7" s="45"/>
      <c r="BE7" s="45"/>
      <c r="BF7" s="45"/>
      <c r="BG7" s="45"/>
      <c r="BH7" s="45"/>
      <c r="BI7" s="45"/>
      <c r="BJ7" s="45"/>
      <c r="BK7" s="50"/>
    </row>
    <row r="8" spans="1:63" ht="15" customHeight="1">
      <c r="A8" s="53">
        <v>45757</v>
      </c>
      <c r="B8" t="s">
        <v>52</v>
      </c>
      <c r="C8" t="s">
        <v>53</v>
      </c>
      <c r="D8">
        <v>3376</v>
      </c>
      <c r="E8">
        <v>3250.06</v>
      </c>
      <c r="F8">
        <v>1345</v>
      </c>
      <c r="G8">
        <v>33.94</v>
      </c>
      <c r="I8">
        <v>24</v>
      </c>
      <c r="J8">
        <v>19</v>
      </c>
      <c r="K8">
        <v>262</v>
      </c>
      <c r="N8">
        <v>486</v>
      </c>
      <c r="O8">
        <v>635</v>
      </c>
      <c r="AA8" s="49">
        <f t="shared" si="0"/>
        <v>1383</v>
      </c>
      <c r="AF8">
        <v>262</v>
      </c>
      <c r="AG8">
        <f>486+635</f>
        <v>1121</v>
      </c>
      <c r="AL8">
        <v>400</v>
      </c>
      <c r="AP8">
        <v>1132</v>
      </c>
      <c r="AU8">
        <v>26</v>
      </c>
      <c r="AV8">
        <v>383</v>
      </c>
    </row>
    <row r="9" spans="1:63" ht="15" customHeight="1">
      <c r="A9" s="53">
        <v>45726</v>
      </c>
      <c r="B9" t="s">
        <v>52</v>
      </c>
      <c r="C9" t="s">
        <v>53</v>
      </c>
      <c r="D9">
        <v>2341</v>
      </c>
      <c r="E9">
        <v>2160</v>
      </c>
      <c r="F9">
        <v>991</v>
      </c>
      <c r="G9">
        <v>55.8</v>
      </c>
      <c r="I9">
        <v>24</v>
      </c>
      <c r="J9">
        <v>20</v>
      </c>
      <c r="K9">
        <v>7</v>
      </c>
      <c r="L9">
        <v>149</v>
      </c>
      <c r="N9">
        <v>551</v>
      </c>
      <c r="O9">
        <v>258</v>
      </c>
      <c r="R9">
        <v>1</v>
      </c>
      <c r="W9">
        <v>46</v>
      </c>
      <c r="X9">
        <v>95</v>
      </c>
      <c r="AA9" s="49">
        <f t="shared" si="0"/>
        <v>1012</v>
      </c>
      <c r="AG9">
        <v>1107</v>
      </c>
      <c r="AL9">
        <v>150</v>
      </c>
      <c r="AM9">
        <v>0</v>
      </c>
      <c r="AN9">
        <v>0</v>
      </c>
      <c r="AO9">
        <v>0</v>
      </c>
      <c r="AP9">
        <v>1153</v>
      </c>
      <c r="AV9">
        <v>399</v>
      </c>
      <c r="AX9">
        <v>1</v>
      </c>
    </row>
    <row r="10" spans="1:63" ht="15" customHeight="1">
      <c r="A10" s="53">
        <v>45937</v>
      </c>
      <c r="B10" t="s">
        <v>54</v>
      </c>
      <c r="C10" t="s">
        <v>55</v>
      </c>
      <c r="D10">
        <v>2711</v>
      </c>
      <c r="E10">
        <v>2661</v>
      </c>
      <c r="F10">
        <v>2021</v>
      </c>
      <c r="G10">
        <v>50</v>
      </c>
      <c r="H10">
        <v>0</v>
      </c>
      <c r="AA10" s="49">
        <f t="shared" si="0"/>
        <v>0</v>
      </c>
      <c r="AP10">
        <v>1652</v>
      </c>
    </row>
    <row r="11" spans="1:63" ht="15" customHeight="1">
      <c r="A11" s="53">
        <v>45937</v>
      </c>
      <c r="B11" t="s">
        <v>56</v>
      </c>
      <c r="C11" t="s">
        <v>57</v>
      </c>
      <c r="D11">
        <v>1685</v>
      </c>
      <c r="E11">
        <v>1656</v>
      </c>
      <c r="F11">
        <v>971</v>
      </c>
      <c r="G11">
        <v>28.62</v>
      </c>
      <c r="H11">
        <v>0.38</v>
      </c>
      <c r="AA11" s="49">
        <f t="shared" si="0"/>
        <v>0</v>
      </c>
      <c r="AL11">
        <v>485</v>
      </c>
      <c r="AM11">
        <v>165</v>
      </c>
      <c r="AO11">
        <v>132</v>
      </c>
      <c r="AU11">
        <v>372</v>
      </c>
      <c r="AV11">
        <v>677</v>
      </c>
      <c r="AW11">
        <v>30</v>
      </c>
      <c r="AX11">
        <v>211</v>
      </c>
      <c r="AY11">
        <v>47</v>
      </c>
      <c r="BB11">
        <v>53</v>
      </c>
      <c r="BC11">
        <v>455</v>
      </c>
      <c r="BK11">
        <v>1845</v>
      </c>
    </row>
    <row r="12" spans="1:63" ht="15" customHeight="1">
      <c r="A12" s="53">
        <v>45936</v>
      </c>
      <c r="B12" t="s">
        <v>54</v>
      </c>
      <c r="C12" t="s">
        <v>55</v>
      </c>
      <c r="D12">
        <v>2631</v>
      </c>
      <c r="E12">
        <v>2555</v>
      </c>
      <c r="F12">
        <v>1314</v>
      </c>
      <c r="G12">
        <v>76</v>
      </c>
      <c r="AA12" s="49">
        <f t="shared" si="0"/>
        <v>0</v>
      </c>
      <c r="AP12">
        <v>1177</v>
      </c>
      <c r="AT12">
        <v>67</v>
      </c>
    </row>
    <row r="13" spans="1:63" ht="15" customHeight="1">
      <c r="A13" s="53">
        <v>45936</v>
      </c>
      <c r="B13" t="s">
        <v>56</v>
      </c>
      <c r="C13" t="s">
        <v>57</v>
      </c>
      <c r="D13">
        <v>1298</v>
      </c>
      <c r="E13">
        <v>1252</v>
      </c>
      <c r="F13">
        <v>562</v>
      </c>
      <c r="G13">
        <v>45.38</v>
      </c>
      <c r="H13">
        <v>0.62</v>
      </c>
      <c r="AA13" s="49">
        <f t="shared" si="0"/>
        <v>0</v>
      </c>
      <c r="AL13">
        <v>445</v>
      </c>
      <c r="AM13">
        <v>250</v>
      </c>
      <c r="AO13">
        <v>65</v>
      </c>
      <c r="AU13">
        <v>230</v>
      </c>
      <c r="AV13">
        <v>499</v>
      </c>
      <c r="AW13">
        <v>9</v>
      </c>
      <c r="AX13">
        <v>123</v>
      </c>
      <c r="AY13">
        <v>13</v>
      </c>
      <c r="BB13">
        <v>25</v>
      </c>
      <c r="BC13">
        <v>186</v>
      </c>
      <c r="BK13">
        <v>1085</v>
      </c>
    </row>
    <row r="14" spans="1:63" ht="15" customHeight="1">
      <c r="A14" s="53">
        <v>45936</v>
      </c>
      <c r="B14" t="s">
        <v>58</v>
      </c>
      <c r="C14" t="s">
        <v>55</v>
      </c>
      <c r="D14">
        <v>384</v>
      </c>
      <c r="E14">
        <v>378</v>
      </c>
      <c r="F14">
        <v>196</v>
      </c>
      <c r="G14">
        <v>6</v>
      </c>
      <c r="H14">
        <v>0</v>
      </c>
      <c r="I14">
        <v>16</v>
      </c>
      <c r="J14">
        <v>15</v>
      </c>
      <c r="K14">
        <v>386</v>
      </c>
      <c r="L14">
        <v>29</v>
      </c>
      <c r="M14">
        <v>65</v>
      </c>
      <c r="N14">
        <v>426</v>
      </c>
      <c r="O14">
        <v>16</v>
      </c>
      <c r="S14">
        <v>31</v>
      </c>
      <c r="T14">
        <v>99</v>
      </c>
      <c r="U14">
        <v>571</v>
      </c>
      <c r="Y14">
        <v>32</v>
      </c>
      <c r="Z14">
        <v>38</v>
      </c>
      <c r="AA14" s="49">
        <f t="shared" si="0"/>
        <v>1623</v>
      </c>
      <c r="AF14">
        <v>402</v>
      </c>
      <c r="AG14">
        <v>426</v>
      </c>
      <c r="AH14">
        <v>571</v>
      </c>
      <c r="AI14">
        <v>99</v>
      </c>
      <c r="AL14">
        <v>322</v>
      </c>
      <c r="AM14">
        <v>585</v>
      </c>
      <c r="AN14">
        <v>174</v>
      </c>
      <c r="AP14">
        <v>1490</v>
      </c>
      <c r="AT14">
        <v>86</v>
      </c>
      <c r="AU14">
        <v>72</v>
      </c>
      <c r="AV14">
        <v>363</v>
      </c>
      <c r="AX14">
        <v>136</v>
      </c>
      <c r="AY14">
        <v>74</v>
      </c>
      <c r="BD14">
        <v>167</v>
      </c>
      <c r="BF14">
        <v>137</v>
      </c>
      <c r="BH14">
        <v>165</v>
      </c>
      <c r="BK14">
        <v>1114</v>
      </c>
    </row>
    <row r="15" spans="1:63" ht="15" customHeight="1">
      <c r="A15" s="53">
        <v>45935</v>
      </c>
      <c r="B15" t="s">
        <v>54</v>
      </c>
      <c r="C15" t="s">
        <v>55</v>
      </c>
      <c r="D15">
        <v>2365</v>
      </c>
      <c r="E15">
        <v>2322</v>
      </c>
      <c r="F15">
        <v>1308</v>
      </c>
      <c r="G15">
        <v>43</v>
      </c>
      <c r="AA15" s="49">
        <f t="shared" si="0"/>
        <v>0</v>
      </c>
      <c r="AP15">
        <v>632</v>
      </c>
      <c r="AT15">
        <v>63</v>
      </c>
    </row>
    <row r="16" spans="1:63" ht="15" customHeight="1">
      <c r="A16" s="53">
        <v>45935</v>
      </c>
      <c r="B16" t="s">
        <v>56</v>
      </c>
      <c r="C16" t="s">
        <v>57</v>
      </c>
      <c r="D16">
        <v>1462</v>
      </c>
      <c r="E16">
        <v>1430</v>
      </c>
      <c r="F16">
        <v>697</v>
      </c>
      <c r="G16">
        <v>31.5</v>
      </c>
      <c r="H16">
        <v>0.5</v>
      </c>
      <c r="AA16" s="49">
        <f t="shared" si="0"/>
        <v>0</v>
      </c>
      <c r="AL16">
        <v>365</v>
      </c>
      <c r="AM16">
        <v>105</v>
      </c>
      <c r="AO16">
        <v>90</v>
      </c>
      <c r="AU16">
        <v>176</v>
      </c>
      <c r="AV16">
        <v>437</v>
      </c>
      <c r="AW16">
        <v>18</v>
      </c>
      <c r="AX16">
        <v>55</v>
      </c>
      <c r="AY16">
        <v>22</v>
      </c>
      <c r="BB16">
        <v>32</v>
      </c>
      <c r="BC16">
        <v>246</v>
      </c>
      <c r="BK16">
        <v>986</v>
      </c>
    </row>
    <row r="17" spans="1:63" ht="15" customHeight="1">
      <c r="A17" s="53">
        <v>45935</v>
      </c>
      <c r="B17" t="s">
        <v>58</v>
      </c>
      <c r="C17" s="9" t="s">
        <v>55</v>
      </c>
      <c r="D17">
        <v>2024</v>
      </c>
      <c r="E17">
        <v>1989</v>
      </c>
      <c r="F17">
        <v>1277</v>
      </c>
      <c r="G17">
        <v>35</v>
      </c>
      <c r="H17">
        <v>0</v>
      </c>
      <c r="I17">
        <v>16</v>
      </c>
      <c r="J17">
        <v>13</v>
      </c>
      <c r="K17">
        <v>325</v>
      </c>
      <c r="L17">
        <v>24</v>
      </c>
      <c r="M17">
        <v>1</v>
      </c>
      <c r="N17">
        <v>343</v>
      </c>
      <c r="S17">
        <v>17</v>
      </c>
      <c r="T17">
        <v>13</v>
      </c>
      <c r="U17">
        <v>154</v>
      </c>
      <c r="Y17">
        <v>17</v>
      </c>
      <c r="Z17">
        <v>17</v>
      </c>
      <c r="AA17" s="49">
        <f t="shared" si="0"/>
        <v>877</v>
      </c>
      <c r="AF17">
        <v>325</v>
      </c>
      <c r="AG17">
        <v>343</v>
      </c>
      <c r="AH17">
        <v>154</v>
      </c>
      <c r="AI17">
        <v>13</v>
      </c>
      <c r="AL17">
        <v>156</v>
      </c>
      <c r="AM17">
        <v>332</v>
      </c>
      <c r="AN17">
        <v>90</v>
      </c>
      <c r="AP17">
        <v>753</v>
      </c>
      <c r="AT17">
        <v>67</v>
      </c>
      <c r="AU17">
        <v>187</v>
      </c>
      <c r="AV17">
        <v>312</v>
      </c>
      <c r="AX17">
        <v>155</v>
      </c>
      <c r="AY17">
        <v>48</v>
      </c>
      <c r="BK17">
        <v>702</v>
      </c>
    </row>
    <row r="18" spans="1:63" ht="15" customHeight="1">
      <c r="A18" s="53">
        <v>45934</v>
      </c>
      <c r="B18" t="s">
        <v>54</v>
      </c>
      <c r="C18" s="9" t="s">
        <v>55</v>
      </c>
      <c r="D18">
        <v>3078</v>
      </c>
      <c r="E18">
        <v>3002</v>
      </c>
      <c r="F18">
        <v>1672</v>
      </c>
      <c r="G18">
        <v>76</v>
      </c>
      <c r="AA18" s="49">
        <f t="shared" si="0"/>
        <v>0</v>
      </c>
      <c r="AP18">
        <v>1393</v>
      </c>
      <c r="AT18">
        <v>44</v>
      </c>
    </row>
    <row r="19" spans="1:63" ht="15" customHeight="1">
      <c r="A19" s="53">
        <v>45934</v>
      </c>
      <c r="B19" t="s">
        <v>56</v>
      </c>
      <c r="C19" s="9" t="s">
        <v>57</v>
      </c>
      <c r="D19">
        <v>1602</v>
      </c>
      <c r="E19">
        <v>1572</v>
      </c>
      <c r="F19">
        <v>960</v>
      </c>
      <c r="G19">
        <v>29.92</v>
      </c>
      <c r="H19">
        <v>0.8</v>
      </c>
      <c r="AA19" s="49">
        <f t="shared" si="0"/>
        <v>0</v>
      </c>
      <c r="AL19">
        <v>370</v>
      </c>
      <c r="AM19">
        <v>80</v>
      </c>
      <c r="AO19">
        <v>58</v>
      </c>
      <c r="AU19">
        <v>299</v>
      </c>
      <c r="AV19">
        <v>481</v>
      </c>
      <c r="AW19">
        <v>22</v>
      </c>
      <c r="AX19">
        <v>293</v>
      </c>
      <c r="AY19">
        <v>55</v>
      </c>
      <c r="BB19">
        <v>53</v>
      </c>
      <c r="BC19">
        <v>268</v>
      </c>
      <c r="BK19">
        <v>1471</v>
      </c>
    </row>
    <row r="20" spans="1:63" ht="15" customHeight="1">
      <c r="A20" s="53">
        <v>45934</v>
      </c>
      <c r="B20" t="s">
        <v>58</v>
      </c>
      <c r="C20" s="9" t="s">
        <v>55</v>
      </c>
      <c r="D20">
        <v>2442</v>
      </c>
      <c r="E20">
        <v>2398</v>
      </c>
      <c r="F20">
        <v>2223</v>
      </c>
      <c r="G20">
        <v>44</v>
      </c>
      <c r="H20">
        <v>0</v>
      </c>
      <c r="I20">
        <v>16</v>
      </c>
      <c r="J20">
        <v>15</v>
      </c>
      <c r="K20">
        <v>495</v>
      </c>
      <c r="L20">
        <v>104</v>
      </c>
      <c r="M20">
        <v>13</v>
      </c>
      <c r="N20">
        <v>283</v>
      </c>
      <c r="O20">
        <v>8</v>
      </c>
      <c r="S20">
        <v>9</v>
      </c>
      <c r="T20">
        <v>319</v>
      </c>
      <c r="U20">
        <v>552</v>
      </c>
      <c r="Y20">
        <v>29</v>
      </c>
      <c r="Z20">
        <v>29</v>
      </c>
      <c r="AA20" s="49">
        <f t="shared" si="0"/>
        <v>1783</v>
      </c>
      <c r="AF20">
        <v>503</v>
      </c>
      <c r="AG20">
        <v>283</v>
      </c>
      <c r="AH20">
        <v>561</v>
      </c>
      <c r="AI20">
        <v>319</v>
      </c>
      <c r="AL20">
        <v>136</v>
      </c>
      <c r="AM20">
        <v>224</v>
      </c>
      <c r="AN20">
        <v>788</v>
      </c>
      <c r="AP20">
        <v>1539</v>
      </c>
      <c r="AT20">
        <v>72</v>
      </c>
      <c r="AU20">
        <v>99</v>
      </c>
      <c r="AV20">
        <v>251</v>
      </c>
      <c r="AW20">
        <v>3</v>
      </c>
      <c r="AY20">
        <v>16</v>
      </c>
      <c r="BD20">
        <v>3</v>
      </c>
      <c r="BE20">
        <v>3</v>
      </c>
      <c r="BF20">
        <v>49</v>
      </c>
      <c r="BG20">
        <v>1</v>
      </c>
      <c r="BH20">
        <v>7</v>
      </c>
      <c r="BI20">
        <v>1</v>
      </c>
      <c r="BJ20">
        <v>6</v>
      </c>
      <c r="BK20">
        <v>439</v>
      </c>
    </row>
    <row r="21" spans="1:63" ht="15" customHeight="1">
      <c r="A21" s="53">
        <v>45933</v>
      </c>
      <c r="B21" t="s">
        <v>54</v>
      </c>
      <c r="C21" s="9" t="s">
        <v>55</v>
      </c>
      <c r="D21">
        <v>3830</v>
      </c>
      <c r="E21">
        <v>3759</v>
      </c>
      <c r="F21">
        <v>2733</v>
      </c>
      <c r="G21">
        <v>70</v>
      </c>
      <c r="H21">
        <v>1</v>
      </c>
      <c r="I21">
        <v>15</v>
      </c>
      <c r="J21">
        <v>13</v>
      </c>
      <c r="K21">
        <v>13</v>
      </c>
      <c r="L21">
        <v>98</v>
      </c>
      <c r="M21">
        <v>13</v>
      </c>
      <c r="N21">
        <v>4</v>
      </c>
      <c r="O21">
        <v>517</v>
      </c>
      <c r="S21">
        <v>1</v>
      </c>
      <c r="U21">
        <v>33</v>
      </c>
      <c r="V21">
        <v>57</v>
      </c>
      <c r="W21">
        <v>342</v>
      </c>
      <c r="X21">
        <v>641</v>
      </c>
      <c r="AA21" s="49">
        <f t="shared" si="0"/>
        <v>1078</v>
      </c>
      <c r="AF21">
        <v>530</v>
      </c>
      <c r="AG21">
        <v>4</v>
      </c>
      <c r="AP21">
        <v>1259</v>
      </c>
      <c r="AT21">
        <v>48</v>
      </c>
    </row>
    <row r="22" spans="1:63" ht="15" customHeight="1">
      <c r="A22" s="53">
        <v>45933</v>
      </c>
      <c r="B22" t="s">
        <v>56</v>
      </c>
      <c r="C22" s="9" t="s">
        <v>57</v>
      </c>
      <c r="D22">
        <v>1285</v>
      </c>
      <c r="E22">
        <v>1244</v>
      </c>
      <c r="F22">
        <v>804</v>
      </c>
      <c r="G22">
        <v>40.119999999999997</v>
      </c>
      <c r="H22">
        <v>0.88</v>
      </c>
      <c r="AA22" s="49">
        <f t="shared" si="0"/>
        <v>0</v>
      </c>
      <c r="AL22">
        <v>380</v>
      </c>
      <c r="AM22">
        <v>180</v>
      </c>
      <c r="AO22">
        <v>108</v>
      </c>
      <c r="AU22">
        <v>243</v>
      </c>
      <c r="AV22">
        <v>376</v>
      </c>
      <c r="AW22">
        <v>32</v>
      </c>
      <c r="AX22">
        <v>195</v>
      </c>
      <c r="AY22">
        <v>38</v>
      </c>
      <c r="BB22">
        <v>43</v>
      </c>
      <c r="BC22">
        <v>124</v>
      </c>
      <c r="BK22">
        <v>1051</v>
      </c>
    </row>
    <row r="23" spans="1:63" ht="15" customHeight="1">
      <c r="A23" s="53">
        <v>45933</v>
      </c>
      <c r="B23" t="s">
        <v>58</v>
      </c>
      <c r="C23" s="9" t="s">
        <v>55</v>
      </c>
      <c r="D23">
        <v>3364</v>
      </c>
      <c r="E23">
        <v>3308</v>
      </c>
      <c r="F23">
        <v>2086</v>
      </c>
      <c r="G23">
        <v>56</v>
      </c>
      <c r="H23">
        <v>0</v>
      </c>
      <c r="I23">
        <v>16</v>
      </c>
      <c r="J23">
        <v>14</v>
      </c>
      <c r="K23">
        <v>433</v>
      </c>
      <c r="L23">
        <v>89</v>
      </c>
      <c r="M23">
        <v>36</v>
      </c>
      <c r="N23">
        <v>495</v>
      </c>
      <c r="O23">
        <v>22</v>
      </c>
      <c r="S23">
        <v>3</v>
      </c>
      <c r="T23">
        <v>121</v>
      </c>
      <c r="U23">
        <v>167</v>
      </c>
      <c r="V23">
        <v>4</v>
      </c>
      <c r="W23">
        <v>20</v>
      </c>
      <c r="X23">
        <v>17</v>
      </c>
      <c r="Y23">
        <v>35</v>
      </c>
      <c r="Z23">
        <v>41</v>
      </c>
      <c r="AA23" s="49">
        <f t="shared" si="0"/>
        <v>1390</v>
      </c>
      <c r="AF23">
        <v>455</v>
      </c>
      <c r="AG23">
        <v>495</v>
      </c>
      <c r="AH23">
        <v>167</v>
      </c>
      <c r="AI23">
        <v>124</v>
      </c>
      <c r="AJ23">
        <v>4</v>
      </c>
      <c r="AK23">
        <v>20</v>
      </c>
      <c r="AL23">
        <v>231</v>
      </c>
      <c r="AO23">
        <v>35</v>
      </c>
      <c r="AP23">
        <v>940</v>
      </c>
      <c r="AT23">
        <v>49</v>
      </c>
      <c r="AU23">
        <v>121</v>
      </c>
      <c r="AV23">
        <v>367</v>
      </c>
      <c r="AW23">
        <v>2</v>
      </c>
      <c r="AX23">
        <v>2</v>
      </c>
      <c r="AY23">
        <v>11</v>
      </c>
      <c r="BD23">
        <v>8</v>
      </c>
      <c r="BF23">
        <v>15</v>
      </c>
      <c r="BK23">
        <v>526</v>
      </c>
    </row>
    <row r="24" spans="1:63" ht="15" customHeight="1">
      <c r="A24" s="53">
        <v>45932</v>
      </c>
      <c r="B24" t="s">
        <v>54</v>
      </c>
      <c r="C24" s="9" t="s">
        <v>55</v>
      </c>
      <c r="D24">
        <v>369</v>
      </c>
      <c r="E24">
        <v>360</v>
      </c>
      <c r="F24">
        <v>474</v>
      </c>
      <c r="G24">
        <v>9</v>
      </c>
      <c r="H24">
        <v>0</v>
      </c>
      <c r="I24">
        <v>15</v>
      </c>
      <c r="J24">
        <v>12</v>
      </c>
      <c r="K24">
        <v>85</v>
      </c>
      <c r="L24">
        <v>5</v>
      </c>
      <c r="M24">
        <v>4</v>
      </c>
      <c r="N24">
        <v>291</v>
      </c>
      <c r="S24">
        <v>12</v>
      </c>
      <c r="T24">
        <v>31</v>
      </c>
      <c r="U24">
        <v>116</v>
      </c>
      <c r="V24">
        <v>28</v>
      </c>
      <c r="W24">
        <v>63</v>
      </c>
      <c r="X24">
        <v>111</v>
      </c>
      <c r="AA24" s="49">
        <f t="shared" si="0"/>
        <v>635</v>
      </c>
      <c r="AP24">
        <v>676</v>
      </c>
      <c r="AT24">
        <v>42</v>
      </c>
    </row>
    <row r="25" spans="1:63" ht="15" customHeight="1">
      <c r="A25" s="53">
        <v>45932</v>
      </c>
      <c r="B25" t="s">
        <v>56</v>
      </c>
      <c r="C25" s="9" t="s">
        <v>57</v>
      </c>
      <c r="D25">
        <v>2358</v>
      </c>
      <c r="E25">
        <v>2311</v>
      </c>
      <c r="F25">
        <v>1553</v>
      </c>
      <c r="G25">
        <v>46.42</v>
      </c>
      <c r="H25">
        <v>0.57999999999999996</v>
      </c>
      <c r="AA25" s="49">
        <f t="shared" si="0"/>
        <v>0</v>
      </c>
      <c r="AU25">
        <v>131</v>
      </c>
      <c r="AV25">
        <v>286</v>
      </c>
      <c r="AW25">
        <v>9</v>
      </c>
      <c r="AX25">
        <v>103</v>
      </c>
      <c r="AY25">
        <v>6</v>
      </c>
      <c r="BB25">
        <v>14</v>
      </c>
      <c r="BC25">
        <v>130</v>
      </c>
      <c r="BK25">
        <v>679</v>
      </c>
    </row>
    <row r="26" spans="1:63" ht="15" customHeight="1">
      <c r="A26" s="53">
        <v>45932</v>
      </c>
      <c r="B26" t="s">
        <v>58</v>
      </c>
      <c r="C26" s="9" t="s">
        <v>55</v>
      </c>
      <c r="D26" s="4"/>
      <c r="E26" s="4"/>
      <c r="F26" s="4"/>
      <c r="G26" s="4"/>
      <c r="H26" s="4">
        <v>0</v>
      </c>
      <c r="I26" s="4">
        <v>16</v>
      </c>
      <c r="J26" s="4">
        <v>1</v>
      </c>
      <c r="K26" s="4">
        <v>2</v>
      </c>
      <c r="L26" s="4"/>
      <c r="M26" s="4"/>
      <c r="N26" s="4">
        <v>15</v>
      </c>
      <c r="O26" s="4"/>
      <c r="P26" s="4"/>
      <c r="Q26" s="4"/>
      <c r="R26" s="4"/>
      <c r="S26" s="4">
        <v>1</v>
      </c>
      <c r="T26" s="4"/>
      <c r="U26" s="4"/>
      <c r="V26" s="4">
        <v>2</v>
      </c>
      <c r="W26" s="4">
        <v>4</v>
      </c>
      <c r="X26" s="4">
        <v>5</v>
      </c>
      <c r="Y26" s="4"/>
      <c r="Z26" s="4"/>
      <c r="AA26" s="49">
        <f t="shared" si="0"/>
        <v>24</v>
      </c>
      <c r="AB26" s="4"/>
      <c r="AC26" s="4"/>
      <c r="AD26" s="4"/>
      <c r="AE26" s="4"/>
      <c r="AF26" s="4">
        <v>2</v>
      </c>
      <c r="AG26" s="4">
        <v>15</v>
      </c>
      <c r="AH26" s="4">
        <v>1</v>
      </c>
      <c r="AI26" s="4"/>
      <c r="AJ26" s="4">
        <v>7</v>
      </c>
      <c r="AK26" s="4">
        <v>4</v>
      </c>
      <c r="AL26" s="4">
        <v>187</v>
      </c>
      <c r="AM26" s="4">
        <v>50</v>
      </c>
      <c r="AN26" s="4"/>
      <c r="AO26" s="4"/>
      <c r="AP26" s="4"/>
      <c r="AQ26" s="4"/>
      <c r="AR26" s="4"/>
      <c r="AS26" s="4"/>
      <c r="AT26" s="4">
        <v>34</v>
      </c>
      <c r="AU26" s="4">
        <v>100</v>
      </c>
      <c r="AV26" s="4">
        <v>228</v>
      </c>
      <c r="AW26" s="4">
        <v>1</v>
      </c>
      <c r="AX26" s="4"/>
      <c r="AY26" s="4">
        <v>6</v>
      </c>
      <c r="AZ26" s="4"/>
      <c r="BA26" s="4"/>
      <c r="BB26" s="4"/>
      <c r="BF26">
        <v>93</v>
      </c>
      <c r="BK26">
        <v>428</v>
      </c>
    </row>
    <row r="27" spans="1:63" ht="15" customHeight="1">
      <c r="A27" s="53">
        <v>45931</v>
      </c>
      <c r="B27" t="s">
        <v>54</v>
      </c>
      <c r="C27" s="9" t="s">
        <v>55</v>
      </c>
      <c r="D27" s="4">
        <v>1132</v>
      </c>
      <c r="E27" s="4">
        <v>1109</v>
      </c>
      <c r="F27" s="4">
        <v>809</v>
      </c>
      <c r="G27" s="4">
        <v>23</v>
      </c>
      <c r="H27" s="4">
        <v>0</v>
      </c>
      <c r="I27" s="4">
        <v>15</v>
      </c>
      <c r="J27" s="4">
        <v>11</v>
      </c>
      <c r="K27" s="4"/>
      <c r="L27" s="4"/>
      <c r="M27" s="4"/>
      <c r="N27" s="4"/>
      <c r="O27" s="4">
        <v>1</v>
      </c>
      <c r="P27" s="4"/>
      <c r="Q27" s="4">
        <v>31</v>
      </c>
      <c r="R27" s="4"/>
      <c r="S27" s="4"/>
      <c r="T27" s="4">
        <v>52</v>
      </c>
      <c r="U27" s="4"/>
      <c r="V27" s="4">
        <v>43</v>
      </c>
      <c r="W27" s="4">
        <v>270</v>
      </c>
      <c r="X27" s="4">
        <v>459</v>
      </c>
      <c r="Y27" s="4"/>
      <c r="Z27" s="4"/>
      <c r="AA27" s="49">
        <f t="shared" si="0"/>
        <v>397</v>
      </c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>
        <v>519</v>
      </c>
      <c r="AQ27" s="4"/>
      <c r="AR27" s="4"/>
      <c r="AS27" s="4"/>
      <c r="AT27" s="4">
        <v>45</v>
      </c>
      <c r="AU27" s="4"/>
      <c r="AV27" s="4"/>
      <c r="AW27" s="4"/>
      <c r="AX27" s="4"/>
      <c r="AY27" s="4"/>
      <c r="AZ27" s="4"/>
      <c r="BA27" s="4"/>
      <c r="BB27" s="4"/>
    </row>
    <row r="28" spans="1:63" ht="15" customHeight="1">
      <c r="A28" s="53">
        <v>45931</v>
      </c>
      <c r="B28" t="s">
        <v>56</v>
      </c>
      <c r="C28" s="9" t="s">
        <v>57</v>
      </c>
      <c r="D28" s="4">
        <v>1861</v>
      </c>
      <c r="E28" s="4">
        <v>1827</v>
      </c>
      <c r="F28" s="4">
        <v>852</v>
      </c>
      <c r="G28" s="4">
        <v>33.25</v>
      </c>
      <c r="H28" s="4">
        <v>0.75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9">
        <f t="shared" si="0"/>
        <v>0</v>
      </c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>
        <v>220</v>
      </c>
      <c r="AM28" s="4">
        <v>170</v>
      </c>
      <c r="AN28" s="4"/>
      <c r="AO28" s="4">
        <v>83</v>
      </c>
      <c r="AP28" s="4"/>
      <c r="AQ28" s="4"/>
      <c r="AR28" s="4"/>
      <c r="AS28" s="4"/>
      <c r="AT28" s="4"/>
      <c r="AU28" s="4">
        <v>192</v>
      </c>
      <c r="AV28" s="4">
        <v>423</v>
      </c>
      <c r="AW28" s="4">
        <v>37</v>
      </c>
      <c r="AX28" s="4">
        <v>243</v>
      </c>
      <c r="AY28" s="4">
        <v>49</v>
      </c>
      <c r="AZ28" s="4"/>
      <c r="BA28" s="4"/>
      <c r="BB28" s="4">
        <v>47</v>
      </c>
      <c r="BC28">
        <v>163</v>
      </c>
      <c r="BK28">
        <v>1154</v>
      </c>
    </row>
    <row r="29" spans="1:63" s="4" customFormat="1" ht="18.75">
      <c r="A29" s="55">
        <v>45931</v>
      </c>
      <c r="B29" s="9" t="s">
        <v>58</v>
      </c>
      <c r="C29" s="9" t="s">
        <v>55</v>
      </c>
      <c r="D29" s="9">
        <v>1946</v>
      </c>
      <c r="E29" s="9">
        <v>1911</v>
      </c>
      <c r="F29" s="9">
        <v>848</v>
      </c>
      <c r="G29" s="9">
        <v>35</v>
      </c>
      <c r="H29" s="9">
        <v>0</v>
      </c>
      <c r="I29" s="9">
        <v>16</v>
      </c>
      <c r="J29" s="9">
        <v>15</v>
      </c>
      <c r="K29" s="9">
        <v>234</v>
      </c>
      <c r="L29" s="9">
        <v>54</v>
      </c>
      <c r="M29" s="9">
        <v>44</v>
      </c>
      <c r="N29" s="9">
        <v>420</v>
      </c>
      <c r="O29" s="9">
        <v>9</v>
      </c>
      <c r="P29" s="9"/>
      <c r="Q29" s="9"/>
      <c r="R29" s="9"/>
      <c r="S29" s="9">
        <v>1</v>
      </c>
      <c r="T29" s="9">
        <v>1</v>
      </c>
      <c r="U29" s="9">
        <v>77</v>
      </c>
      <c r="V29" s="9"/>
      <c r="W29" s="9"/>
      <c r="X29" s="9"/>
      <c r="Y29" s="9">
        <v>8</v>
      </c>
      <c r="Z29" s="9">
        <v>8</v>
      </c>
      <c r="AA29" s="49">
        <f t="shared" si="0"/>
        <v>840</v>
      </c>
      <c r="AB29" s="9"/>
      <c r="AC29" s="9"/>
      <c r="AD29" s="9"/>
      <c r="AE29" s="9"/>
      <c r="AF29" s="9">
        <v>243</v>
      </c>
      <c r="AG29" s="9">
        <v>420</v>
      </c>
      <c r="AH29" s="9">
        <v>78</v>
      </c>
      <c r="AI29" s="9">
        <v>1</v>
      </c>
      <c r="AJ29" s="9"/>
      <c r="AK29" s="9"/>
      <c r="AL29" s="9">
        <v>240</v>
      </c>
      <c r="AM29" s="9">
        <v>42</v>
      </c>
      <c r="AN29" s="9"/>
      <c r="AO29" s="9"/>
      <c r="AP29" s="9">
        <v>639</v>
      </c>
      <c r="AQ29" s="9"/>
      <c r="AR29" s="9"/>
      <c r="AS29" s="9"/>
      <c r="AT29" s="9">
        <v>49</v>
      </c>
      <c r="AU29" s="9">
        <v>168</v>
      </c>
      <c r="AV29" s="9">
        <v>325</v>
      </c>
      <c r="AW29" s="9">
        <v>2</v>
      </c>
      <c r="AX29" s="9">
        <v>3</v>
      </c>
      <c r="AY29" s="9">
        <v>11</v>
      </c>
      <c r="AZ29" s="9"/>
      <c r="BA29" s="9"/>
      <c r="BB29" s="9"/>
      <c r="BK29" s="4">
        <v>509</v>
      </c>
    </row>
    <row r="30" spans="1:63" s="4" customFormat="1" ht="18.75">
      <c r="A30" s="54">
        <v>45931</v>
      </c>
      <c r="B30" s="4" t="s">
        <v>52</v>
      </c>
      <c r="C30" s="4" t="s">
        <v>53</v>
      </c>
      <c r="D30">
        <v>1260</v>
      </c>
      <c r="E30">
        <v>1251.56</v>
      </c>
      <c r="F30">
        <v>510</v>
      </c>
      <c r="G30" s="4">
        <v>8.75</v>
      </c>
      <c r="H30"/>
      <c r="I30">
        <v>24</v>
      </c>
      <c r="J30">
        <v>18</v>
      </c>
      <c r="K30"/>
      <c r="L30"/>
      <c r="M30"/>
      <c r="N30">
        <v>1338</v>
      </c>
      <c r="O30" t="s">
        <v>59</v>
      </c>
      <c r="P30"/>
      <c r="Q30"/>
      <c r="R30"/>
      <c r="S30"/>
      <c r="T30"/>
      <c r="U30"/>
      <c r="V30"/>
      <c r="W30"/>
      <c r="X30"/>
      <c r="Y30"/>
      <c r="Z30"/>
      <c r="AA30" s="49">
        <f t="shared" si="0"/>
        <v>1338</v>
      </c>
      <c r="AB30"/>
      <c r="AC30"/>
      <c r="AD30"/>
      <c r="AE30"/>
      <c r="AF30"/>
      <c r="AG30">
        <v>1362</v>
      </c>
      <c r="AH30"/>
      <c r="AI30"/>
      <c r="AJ30"/>
      <c r="AK30"/>
      <c r="AL30">
        <v>0</v>
      </c>
      <c r="AM30"/>
      <c r="AN30"/>
      <c r="AO30"/>
      <c r="AP30">
        <v>1419</v>
      </c>
      <c r="AQ30"/>
      <c r="AR30"/>
      <c r="AS30"/>
      <c r="AT30"/>
      <c r="AU30">
        <v>109</v>
      </c>
      <c r="AV30">
        <v>550</v>
      </c>
      <c r="AW30">
        <v>7</v>
      </c>
      <c r="AX30">
        <v>28</v>
      </c>
      <c r="AY30"/>
      <c r="AZ30"/>
      <c r="BA30"/>
      <c r="BB30">
        <v>7</v>
      </c>
      <c r="BC30" s="4">
        <v>19</v>
      </c>
    </row>
    <row r="31" spans="1:63" s="4" customFormat="1" ht="18.75">
      <c r="A31" s="54"/>
      <c r="B31"/>
      <c r="D31"/>
      <c r="E31"/>
      <c r="F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 s="49">
        <f t="shared" si="0"/>
        <v>0</v>
      </c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</row>
    <row r="32" spans="1:63" ht="15" customHeight="1">
      <c r="G32" s="4"/>
    </row>
    <row r="33" spans="7:9" ht="15" customHeight="1">
      <c r="G33" s="4"/>
    </row>
    <row r="34" spans="7:9" ht="15" customHeight="1">
      <c r="G34" s="4"/>
    </row>
    <row r="35" spans="7:9" ht="15" customHeight="1">
      <c r="G35" s="4"/>
      <c r="I35" s="6"/>
    </row>
    <row r="36" spans="7:9" ht="15" customHeight="1">
      <c r="G36" s="4"/>
    </row>
    <row r="37" spans="7:9">
      <c r="G37" s="4"/>
    </row>
    <row r="38" spans="7:9" ht="15" customHeight="1">
      <c r="G38" s="4"/>
    </row>
    <row r="39" spans="7:9" ht="15" customHeight="1">
      <c r="G39" s="4"/>
    </row>
    <row r="40" spans="7:9" ht="15" customHeight="1">
      <c r="G40" s="4"/>
    </row>
    <row r="41" spans="7:9" ht="15" customHeight="1">
      <c r="G41" s="4"/>
    </row>
    <row r="42" spans="7:9" ht="15" customHeight="1">
      <c r="G42" s="4"/>
    </row>
    <row r="43" spans="7:9" ht="15" customHeight="1">
      <c r="G43" s="4"/>
    </row>
    <row r="44" spans="7:9" ht="15" customHeight="1">
      <c r="G44" s="4"/>
    </row>
  </sheetData>
  <sheetProtection insertRows="0"/>
  <mergeCells count="57">
    <mergeCell ref="BI2:BI3"/>
    <mergeCell ref="BD1:BJ1"/>
    <mergeCell ref="D2:D3"/>
    <mergeCell ref="Z2:Z3"/>
    <mergeCell ref="Y2:Y3"/>
    <mergeCell ref="K1:Z1"/>
    <mergeCell ref="BK1:BK3"/>
    <mergeCell ref="AU1:BA1"/>
    <mergeCell ref="AN2:AN3"/>
    <mergeCell ref="AO2:AO3"/>
    <mergeCell ref="AP2:AP3"/>
    <mergeCell ref="AQ2:AQ3"/>
    <mergeCell ref="BA2:BA3"/>
    <mergeCell ref="AT2:AT3"/>
    <mergeCell ref="AL1:AO1"/>
    <mergeCell ref="AW2:AY2"/>
    <mergeCell ref="AR2:AR3"/>
    <mergeCell ref="AS2:AS3"/>
    <mergeCell ref="BJ2:BJ3"/>
    <mergeCell ref="F2:F3"/>
    <mergeCell ref="H2:H3"/>
    <mergeCell ref="I2:I3"/>
    <mergeCell ref="J2:J3"/>
    <mergeCell ref="AD2:AD3"/>
    <mergeCell ref="AA1:AA3"/>
    <mergeCell ref="S2:U2"/>
    <mergeCell ref="V2:W2"/>
    <mergeCell ref="X2:X3"/>
    <mergeCell ref="AB1:AE1"/>
    <mergeCell ref="AC2:AC3"/>
    <mergeCell ref="G2:G3"/>
    <mergeCell ref="AB2:AB3"/>
    <mergeCell ref="BD2:BD3"/>
    <mergeCell ref="BE2:BE3"/>
    <mergeCell ref="BH2:BH3"/>
    <mergeCell ref="A1:A3"/>
    <mergeCell ref="B1:B3"/>
    <mergeCell ref="C1:C3"/>
    <mergeCell ref="BB2:BB3"/>
    <mergeCell ref="BC2:BC3"/>
    <mergeCell ref="AE2:AE3"/>
    <mergeCell ref="E2:E3"/>
    <mergeCell ref="K2:R2"/>
    <mergeCell ref="AF1:AK1"/>
    <mergeCell ref="AP1:AT1"/>
    <mergeCell ref="AL2:AL3"/>
    <mergeCell ref="AM2:AM3"/>
    <mergeCell ref="AF2:AG2"/>
    <mergeCell ref="D1:H1"/>
    <mergeCell ref="I1:J1"/>
    <mergeCell ref="AJ2:AK2"/>
    <mergeCell ref="AH2:AH3"/>
    <mergeCell ref="AI2:AI3"/>
    <mergeCell ref="BF2:BF3"/>
    <mergeCell ref="BG2:BG3"/>
    <mergeCell ref="AZ2:AZ3"/>
    <mergeCell ref="AU2:AV2"/>
  </mergeCells>
  <dataValidations count="1">
    <dataValidation type="list" allowBlank="1" showInputMessage="1" showErrorMessage="1" sqref="B29:B1048576 B1 B5:B22" xr:uid="{DD4BF477-BE24-47FF-A02B-AF09C1D47665}">
      <formula1>"U1-Floor1,U1-Floor2,U1-Floor3,U2"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0FB0-2CD4-4AF8-85D6-0F4C67A2C47A}">
  <sheetPr codeName="Sheet2"/>
  <dimension ref="A1:AE29"/>
  <sheetViews>
    <sheetView zoomScale="73" zoomScaleNormal="73" workbookViewId="0">
      <pane xSplit="3" ySplit="1" topLeftCell="E2" activePane="bottomRight" state="frozen"/>
      <selection pane="bottomRight" activeCell="B13" sqref="B13"/>
      <selection pane="bottomLeft"/>
      <selection pane="topRight"/>
    </sheetView>
  </sheetViews>
  <sheetFormatPr defaultRowHeight="14.45"/>
  <cols>
    <col min="1" max="1" width="10.85546875" bestFit="1" customWidth="1"/>
    <col min="3" max="3" width="20.28515625" customWidth="1"/>
    <col min="4" max="7" width="9" bestFit="1" customWidth="1"/>
    <col min="8" max="8" width="10" bestFit="1" customWidth="1"/>
    <col min="9" max="9" width="9" bestFit="1" customWidth="1"/>
    <col min="10" max="10" width="9" customWidth="1"/>
    <col min="11" max="15" width="9" bestFit="1" customWidth="1"/>
    <col min="16" max="16" width="10" bestFit="1" customWidth="1"/>
    <col min="17" max="17" width="10" customWidth="1"/>
    <col min="18" max="18" width="9" bestFit="1" customWidth="1"/>
    <col min="19" max="19" width="12.140625" bestFit="1" customWidth="1"/>
    <col min="20" max="23" width="9" bestFit="1" customWidth="1"/>
    <col min="24" max="24" width="9" customWidth="1"/>
    <col min="25" max="28" width="9" bestFit="1" customWidth="1"/>
    <col min="30" max="30" width="9" bestFit="1" customWidth="1"/>
  </cols>
  <sheetData>
    <row r="1" spans="1:31" ht="14.45" customHeight="1">
      <c r="A1" s="10" t="s">
        <v>0</v>
      </c>
      <c r="B1" s="12" t="s">
        <v>1</v>
      </c>
      <c r="C1" s="11" t="s">
        <v>2</v>
      </c>
      <c r="D1" s="39" t="s">
        <v>60</v>
      </c>
      <c r="E1" s="39"/>
      <c r="F1" s="39"/>
      <c r="G1" s="39"/>
      <c r="H1" s="39"/>
      <c r="I1" s="39"/>
      <c r="J1" s="39"/>
      <c r="K1" s="39" t="s">
        <v>61</v>
      </c>
      <c r="L1" s="39"/>
      <c r="M1" s="39"/>
      <c r="N1" s="39"/>
      <c r="O1" s="39"/>
      <c r="P1" s="39"/>
      <c r="Q1" s="39"/>
      <c r="R1" s="39" t="s">
        <v>62</v>
      </c>
      <c r="S1" s="39"/>
      <c r="T1" s="39"/>
      <c r="U1" s="39"/>
      <c r="V1" s="39"/>
      <c r="W1" s="39"/>
      <c r="X1" s="39"/>
      <c r="Y1" s="40" t="s">
        <v>63</v>
      </c>
      <c r="Z1" s="40"/>
      <c r="AA1" s="40"/>
      <c r="AB1" s="40"/>
      <c r="AC1" s="40"/>
      <c r="AD1" s="40"/>
      <c r="AE1" s="40"/>
    </row>
    <row r="2" spans="1:31" ht="14.45" customHeight="1">
      <c r="A2" s="5"/>
      <c r="B2" s="4"/>
      <c r="C2" s="4"/>
      <c r="D2" s="8" t="s">
        <v>64</v>
      </c>
      <c r="E2" s="8" t="s">
        <v>29</v>
      </c>
      <c r="F2" s="8" t="s">
        <v>22</v>
      </c>
      <c r="G2" s="8" t="s">
        <v>65</v>
      </c>
      <c r="H2" s="8" t="s">
        <v>66</v>
      </c>
      <c r="I2" s="8" t="s">
        <v>27</v>
      </c>
      <c r="J2" s="8" t="s">
        <v>67</v>
      </c>
      <c r="K2" s="8" t="s">
        <v>64</v>
      </c>
      <c r="L2" s="8" t="s">
        <v>29</v>
      </c>
      <c r="M2" s="8" t="s">
        <v>22</v>
      </c>
      <c r="N2" s="8" t="s">
        <v>65</v>
      </c>
      <c r="O2" s="8" t="s">
        <v>66</v>
      </c>
      <c r="P2" s="8" t="s">
        <v>27</v>
      </c>
      <c r="Q2" s="8" t="s">
        <v>67</v>
      </c>
      <c r="R2" s="8" t="s">
        <v>64</v>
      </c>
      <c r="S2" s="8" t="s">
        <v>29</v>
      </c>
      <c r="T2" s="8" t="s">
        <v>22</v>
      </c>
      <c r="U2" s="8" t="s">
        <v>65</v>
      </c>
      <c r="V2" s="8" t="s">
        <v>66</v>
      </c>
      <c r="W2" s="8" t="s">
        <v>27</v>
      </c>
      <c r="X2" s="8" t="s">
        <v>67</v>
      </c>
      <c r="Y2" s="8" t="s">
        <v>64</v>
      </c>
      <c r="Z2" s="8" t="s">
        <v>29</v>
      </c>
      <c r="AA2" s="8" t="s">
        <v>22</v>
      </c>
      <c r="AB2" s="8" t="s">
        <v>65</v>
      </c>
      <c r="AC2" s="8" t="s">
        <v>66</v>
      </c>
      <c r="AD2" s="8" t="s">
        <v>27</v>
      </c>
      <c r="AE2" s="8" t="s">
        <v>67</v>
      </c>
    </row>
    <row r="3" spans="1:31" ht="14.45" customHeight="1">
      <c r="A3" s="5">
        <v>45937</v>
      </c>
      <c r="B3" s="4" t="s">
        <v>68</v>
      </c>
      <c r="C3" s="4" t="s">
        <v>69</v>
      </c>
      <c r="R3">
        <v>326</v>
      </c>
      <c r="S3">
        <v>99</v>
      </c>
      <c r="T3">
        <v>117</v>
      </c>
      <c r="U3">
        <v>16</v>
      </c>
      <c r="V3">
        <v>8</v>
      </c>
      <c r="W3">
        <v>67</v>
      </c>
    </row>
    <row r="4" spans="1:31" ht="14.45" customHeight="1">
      <c r="A4" s="5">
        <v>45936</v>
      </c>
      <c r="B4" s="4" t="s">
        <v>68</v>
      </c>
      <c r="C4" s="4" t="s">
        <v>69</v>
      </c>
      <c r="R4">
        <v>326</v>
      </c>
      <c r="S4">
        <v>99</v>
      </c>
      <c r="T4">
        <v>117</v>
      </c>
      <c r="U4">
        <v>16</v>
      </c>
      <c r="V4">
        <v>8</v>
      </c>
      <c r="W4">
        <v>67</v>
      </c>
    </row>
    <row r="5" spans="1:31" ht="14.45" customHeight="1">
      <c r="A5" s="5">
        <v>45935</v>
      </c>
      <c r="B5" s="4" t="s">
        <v>52</v>
      </c>
      <c r="C5" s="4" t="s">
        <v>69</v>
      </c>
      <c r="D5">
        <v>1092</v>
      </c>
      <c r="E5">
        <v>13</v>
      </c>
      <c r="F5">
        <v>42</v>
      </c>
      <c r="I5">
        <v>68</v>
      </c>
      <c r="J5">
        <v>52</v>
      </c>
    </row>
    <row r="6" spans="1:31" ht="14.45" customHeight="1">
      <c r="A6" s="5">
        <v>45934</v>
      </c>
      <c r="B6" s="4" t="s">
        <v>52</v>
      </c>
      <c r="C6" s="4" t="s">
        <v>69</v>
      </c>
      <c r="D6">
        <v>819</v>
      </c>
    </row>
    <row r="7" spans="1:31" ht="14.45" customHeight="1">
      <c r="A7" s="5">
        <v>45933</v>
      </c>
      <c r="B7" s="4" t="s">
        <v>52</v>
      </c>
      <c r="C7" s="4" t="s">
        <v>69</v>
      </c>
      <c r="D7">
        <v>608</v>
      </c>
    </row>
    <row r="8" spans="1:31" ht="14.45" customHeight="1">
      <c r="A8" s="5">
        <v>45932</v>
      </c>
      <c r="B8" s="4" t="s">
        <v>52</v>
      </c>
      <c r="C8" s="4" t="s">
        <v>69</v>
      </c>
      <c r="D8">
        <v>429</v>
      </c>
    </row>
    <row r="9" spans="1:31" s="4" customFormat="1" ht="15">
      <c r="A9" s="7">
        <v>45931</v>
      </c>
      <c r="B9" t="s">
        <v>52</v>
      </c>
      <c r="C9" t="s">
        <v>69</v>
      </c>
      <c r="D9" s="4">
        <v>585</v>
      </c>
    </row>
    <row r="10" spans="1:31" s="4" customFormat="1" ht="15">
      <c r="A10" s="7"/>
      <c r="B10"/>
      <c r="C10"/>
    </row>
    <row r="11" spans="1:31" ht="15">
      <c r="A11" s="7"/>
    </row>
    <row r="12" spans="1:31" ht="15">
      <c r="A12" s="7"/>
    </row>
    <row r="13" spans="1:31" ht="15">
      <c r="A13" s="7"/>
    </row>
    <row r="14" spans="1:31" ht="15">
      <c r="A14" s="7"/>
    </row>
    <row r="15" spans="1:31" ht="15">
      <c r="A15" s="7"/>
    </row>
    <row r="16" spans="1:31" ht="15">
      <c r="A16" s="7"/>
    </row>
    <row r="17" spans="1:1" ht="15">
      <c r="A17" s="7"/>
    </row>
    <row r="18" spans="1:1" ht="15">
      <c r="A18" s="7"/>
    </row>
    <row r="19" spans="1:1" ht="15">
      <c r="A19" s="7"/>
    </row>
    <row r="20" spans="1:1" ht="15">
      <c r="A20" s="7"/>
    </row>
    <row r="21" spans="1:1" ht="15"/>
    <row r="22" spans="1:1" ht="15"/>
    <row r="23" spans="1:1" ht="15"/>
    <row r="24" spans="1:1" ht="15"/>
    <row r="25" spans="1:1" ht="15"/>
    <row r="26" spans="1:1" ht="15"/>
    <row r="27" spans="1:1" ht="15"/>
    <row r="28" spans="1:1" ht="15"/>
    <row r="29" spans="1:1" ht="15"/>
  </sheetData>
  <sheetProtection insertRows="0"/>
  <mergeCells count="4">
    <mergeCell ref="R1:X1"/>
    <mergeCell ref="Y1:AE1"/>
    <mergeCell ref="D1:J1"/>
    <mergeCell ref="K1:Q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3CBF0120F9447B2A626EE83F98082" ma:contentTypeVersion="0" ma:contentTypeDescription="Create a new document." ma:contentTypeScope="" ma:versionID="3db21f2875629e1d15e773e4f831696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f27296b650b3e86c366768b0ef4ffd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1BFECF-F8F1-4837-B47F-5CEEF3DF4FFD}"/>
</file>

<file path=customXml/itemProps2.xml><?xml version="1.0" encoding="utf-8"?>
<ds:datastoreItem xmlns:ds="http://schemas.openxmlformats.org/officeDocument/2006/customXml" ds:itemID="{EB87E0BD-2EBD-447F-8415-0F7127A383DF}"/>
</file>

<file path=customXml/itemProps3.xml><?xml version="1.0" encoding="utf-8"?>
<ds:datastoreItem xmlns:ds="http://schemas.openxmlformats.org/officeDocument/2006/customXml" ds:itemID="{D417F651-2BBF-47BC-B1A3-9AC33D5E05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Vrm</dc:creator>
  <cp:keywords/>
  <dc:description/>
  <cp:lastModifiedBy>Guest User</cp:lastModifiedBy>
  <cp:revision/>
  <dcterms:created xsi:type="dcterms:W3CDTF">2025-08-13T10:30:28Z</dcterms:created>
  <dcterms:modified xsi:type="dcterms:W3CDTF">2025-10-09T07:40:11Z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0x0101008DC3CBF0120F9447B2A626EE83F98082</vt:lpwstr>
  </property>
  <property fmtid="{D5CDD505-2E9C-101B-9397-08002B2CF9AE}" pid="3" name="MediaServiceImageTags">
    <vt:lpwstr/>
  </property>
</Properties>
</file>